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BuÇalışmaKitabı" defaultThemeVersion="202300"/>
  <mc:AlternateContent xmlns:mc="http://schemas.openxmlformats.org/markup-compatibility/2006">
    <mc:Choice Requires="x15">
      <x15ac:absPath xmlns:x15ac="http://schemas.microsoft.com/office/spreadsheetml/2010/11/ac" url="C:\Users\kuzey.uzun\OneDrive - pttem.com\Masaüstü\"/>
    </mc:Choice>
  </mc:AlternateContent>
  <xr:revisionPtr revIDLastSave="0" documentId="13_ncr:1_{85276219-9F77-4C30-A873-4F3806A8E12F}" xr6:coauthVersionLast="47" xr6:coauthVersionMax="47" xr10:uidLastSave="{00000000-0000-0000-0000-000000000000}"/>
  <bookViews>
    <workbookView xWindow="38280" yWindow="-120" windowWidth="38640" windowHeight="21120" xr2:uid="{C1FA2774-BF46-49EF-BE60-0814B5F1C3E0}"/>
  </bookViews>
  <sheets>
    <sheet name="Mart 2025" sheetId="6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" i="6" l="1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G33" i="6"/>
  <c r="F33" i="6"/>
  <c r="D33" i="6"/>
  <c r="G32" i="6"/>
  <c r="F32" i="6"/>
  <c r="D32" i="6"/>
  <c r="G31" i="6"/>
  <c r="F31" i="6"/>
  <c r="D31" i="6"/>
  <c r="G30" i="6"/>
  <c r="F30" i="6"/>
  <c r="D30" i="6"/>
  <c r="G29" i="6"/>
  <c r="F29" i="6"/>
  <c r="D29" i="6"/>
  <c r="G28" i="6"/>
  <c r="F28" i="6"/>
  <c r="D28" i="6"/>
  <c r="G27" i="6"/>
  <c r="F27" i="6"/>
  <c r="D27" i="6"/>
  <c r="G26" i="6"/>
  <c r="F26" i="6"/>
  <c r="D26" i="6"/>
  <c r="G25" i="6"/>
  <c r="F25" i="6"/>
  <c r="D25" i="6"/>
  <c r="G24" i="6"/>
  <c r="F24" i="6"/>
  <c r="D24" i="6"/>
  <c r="G23" i="6"/>
  <c r="F23" i="6"/>
  <c r="D23" i="6"/>
  <c r="G22" i="6"/>
  <c r="F22" i="6"/>
  <c r="D22" i="6"/>
  <c r="G21" i="6"/>
  <c r="F21" i="6"/>
  <c r="D21" i="6"/>
  <c r="G20" i="6"/>
  <c r="F20" i="6"/>
  <c r="D20" i="6"/>
  <c r="G19" i="6"/>
  <c r="F19" i="6"/>
  <c r="D19" i="6"/>
  <c r="G18" i="6"/>
  <c r="F18" i="6"/>
  <c r="D18" i="6"/>
  <c r="G17" i="6"/>
  <c r="F17" i="6"/>
  <c r="D17" i="6"/>
  <c r="G16" i="6"/>
  <c r="F16" i="6"/>
  <c r="D16" i="6"/>
  <c r="G15" i="6"/>
  <c r="F15" i="6"/>
  <c r="D15" i="6"/>
  <c r="G14" i="6"/>
  <c r="F14" i="6"/>
  <c r="D14" i="6"/>
  <c r="G13" i="6"/>
  <c r="F13" i="6"/>
  <c r="D13" i="6"/>
  <c r="G12" i="6"/>
  <c r="F12" i="6"/>
  <c r="D12" i="6"/>
  <c r="G11" i="6"/>
  <c r="F11" i="6"/>
  <c r="D11" i="6"/>
  <c r="G10" i="6"/>
  <c r="F10" i="6"/>
  <c r="D10" i="6"/>
  <c r="G9" i="6"/>
  <c r="F9" i="6"/>
  <c r="D9" i="6"/>
  <c r="G8" i="6"/>
  <c r="F8" i="6"/>
  <c r="D8" i="6"/>
  <c r="G7" i="6"/>
  <c r="F7" i="6"/>
  <c r="D7" i="6"/>
  <c r="G6" i="6"/>
  <c r="F6" i="6"/>
  <c r="D6" i="6"/>
  <c r="G5" i="6"/>
  <c r="F5" i="6"/>
  <c r="D5" i="6"/>
  <c r="G4" i="6"/>
  <c r="F4" i="6"/>
  <c r="D4" i="6"/>
  <c r="G3" i="6"/>
  <c r="F3" i="6"/>
  <c r="D3" i="6"/>
  <c r="L8" i="6"/>
  <c r="L7" i="6"/>
  <c r="L5" i="6"/>
  <c r="L6" i="6" s="1"/>
  <c r="L9" i="6" s="1"/>
</calcChain>
</file>

<file path=xl/sharedStrings.xml><?xml version="1.0" encoding="utf-8"?>
<sst xmlns="http://schemas.openxmlformats.org/spreadsheetml/2006/main" count="79" uniqueCount="54">
  <si>
    <t>Mart 2025 Günlük Hedef Dağılımı</t>
  </si>
  <si>
    <t>Tarih</t>
  </si>
  <si>
    <t>Gün</t>
  </si>
  <si>
    <t>Günlük Hedef (TL)</t>
  </si>
  <si>
    <t>Gerçekleşen Ciro</t>
  </si>
  <si>
    <t>Hedef Gerçekleşme</t>
  </si>
  <si>
    <t>Hedeften Sapma</t>
  </si>
  <si>
    <t>Güncel Hedef</t>
  </si>
  <si>
    <t>1 Mart</t>
  </si>
  <si>
    <t>2 Mart</t>
  </si>
  <si>
    <t>3 Mart</t>
  </si>
  <si>
    <t>Pazartesi</t>
  </si>
  <si>
    <t>4 Mart</t>
  </si>
  <si>
    <t>Salı</t>
  </si>
  <si>
    <t>5 Mart</t>
  </si>
  <si>
    <t>Çarşamba</t>
  </si>
  <si>
    <t>6 Mart</t>
  </si>
  <si>
    <t>Perşembe</t>
  </si>
  <si>
    <t>7 Mart</t>
  </si>
  <si>
    <t>Cuma</t>
  </si>
  <si>
    <t>8 Mart</t>
  </si>
  <si>
    <t>Cumartesi</t>
  </si>
  <si>
    <t>9 Mart</t>
  </si>
  <si>
    <t>Pazar</t>
  </si>
  <si>
    <t>10 Mart</t>
  </si>
  <si>
    <t>11 Mart</t>
  </si>
  <si>
    <t>12 Mart</t>
  </si>
  <si>
    <t>13 Mart</t>
  </si>
  <si>
    <t>14 Mart</t>
  </si>
  <si>
    <t>15 Mart</t>
  </si>
  <si>
    <t>16 Mart</t>
  </si>
  <si>
    <t>17 Mart</t>
  </si>
  <si>
    <t>18 Mart</t>
  </si>
  <si>
    <t>19 Mart</t>
  </si>
  <si>
    <t>20 Mart</t>
  </si>
  <si>
    <t>21 Mart</t>
  </si>
  <si>
    <t>22 Mart</t>
  </si>
  <si>
    <t>23 Mart</t>
  </si>
  <si>
    <t>24 Mart</t>
  </si>
  <si>
    <t>25 Mart</t>
  </si>
  <si>
    <t>27 Mart</t>
  </si>
  <si>
    <t>28 Mart</t>
  </si>
  <si>
    <t>29 Mart</t>
  </si>
  <si>
    <t>30 Mart</t>
  </si>
  <si>
    <t>Güncel Ay</t>
  </si>
  <si>
    <t>Mart 2025</t>
  </si>
  <si>
    <t>Gün Sayısı</t>
  </si>
  <si>
    <t>Aylık Hedef</t>
  </si>
  <si>
    <t>26 Mart</t>
  </si>
  <si>
    <t>31 Mart</t>
  </si>
  <si>
    <t>Kalan Hedef</t>
  </si>
  <si>
    <t>Günlük Ort.Hedef</t>
  </si>
  <si>
    <t>Geçen Gün Sayısı</t>
  </si>
  <si>
    <t>Kalan Gün Sayısı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</si>
</sst>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-* #,##0_-;\-* #,##0_-;_-* &quot;-&quot;??_-;_-@_-"/>
  </numFmts>
  <fonts count="4" x14ac:knownFonts="1">
    <font>
      <sz val="11"/>
      <color theme="1"/>
      <name val="Aptos Narrow"/>
      <family val="2"/>
      <charset val="162"/>
      <scheme val="minor"/>
    </font>
    <font>
      <sz val="11"/>
      <color theme="1"/>
      <name val="Aptos Narrow"/>
      <family val="2"/>
      <charset val="162"/>
      <scheme val="minor"/>
    </font>
    <font>
      <b/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">
    <xf numFmtId="0" fontId="0" fillId="0" borderId="0" xfId="0"/>
    <xf numFmtId="9" fontId="0" fillId="0" borderId="0" xfId="2" applyFont="1" applyAlignment="1">
      <alignment horizontal="center"/>
    </xf>
    <xf numFmtId="164" fontId="3" fillId="0" borderId="0" xfId="1" applyNumberFormat="1" applyFont="1"/>
    <xf numFmtId="9" fontId="0" fillId="0" borderId="0" xfId="0" applyNumberFormat="1"/>
    <xf numFmtId="3" fontId="0" fillId="0" borderId="0" xfId="0" applyNumberFormat="1"/>
    <xf numFmtId="0" fontId="0" fillId="0" borderId="1" xfId="0" applyBorder="1" applyAlignment="1">
      <alignment horizontal="center"/>
    </xf>
    <xf numFmtId="164" fontId="0" fillId="0" borderId="1" xfId="1" applyNumberFormat="1" applyFon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3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2" fillId="0" borderId="0" xfId="0" applyFont="1" applyAlignment="1">
      <alignment horizontal="center"/>
    </xf>
  </cellXfs>
  <cellStyles count="3">
    <cellStyle name="Normal" xfId="0" builtinId="0"/>
    <cellStyle name="Virgül" xfId="1" builtinId="3"/>
    <cellStyle name="Yüzd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136921</xdr:colOff>
      <xdr:row>10</xdr:row>
      <xdr:rowOff>77389</xdr:rowOff>
    </xdr:from>
    <xdr:to>
      <xdr:col>10</xdr:col>
      <xdr:colOff>976313</xdr:colOff>
      <xdr:row>11</xdr:row>
      <xdr:rowOff>56709</xdr:rowOff>
    </xdr:to>
    <xdr:pic macro="[0]!UpdateOrCreateMart2025Sheet">
      <xdr:nvPicPr>
        <xdr:cNvPr id="3" name="Resim 2">
          <a:extLst>
            <a:ext uri="{FF2B5EF4-FFF2-40B4-BE49-F238E27FC236}">
              <a16:creationId xmlns:a16="http://schemas.microsoft.com/office/drawing/2014/main" id="{CA1CC149-B57B-9E53-D954-FBD42DD2FA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39374" y="1982389"/>
          <a:ext cx="839392" cy="1698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31330E-CBE9-461A-BECA-4B3E5880306C}">
  <sheetPr codeName="Sayfa6"/>
  <dimension ref="A1:L40"/>
  <sheetViews>
    <sheetView tabSelected="1" zoomScale="160" zoomScaleNormal="160" workbookViewId="0">
      <selection activeCell="F9" sqref="F9"/>
    </sheetView>
  </sheetViews>
  <sheetFormatPr defaultRowHeight="15" x14ac:dyDescent="0.25"/>
  <cols>
    <col min="1" max="1" width="7.42578125" bestFit="1" customWidth="1"/>
    <col min="2" max="2" width="10.140625" bestFit="1" customWidth="1"/>
    <col min="4" max="4" width="16.5703125" bestFit="1" customWidth="1"/>
    <col min="5" max="5" width="15.85546875" bestFit="1" customWidth="1"/>
    <col min="6" max="6" width="18" style="1" bestFit="1" customWidth="1"/>
    <col min="7" max="7" width="15.42578125" style="1" bestFit="1" customWidth="1"/>
    <col min="8" max="8" width="12.5703125" style="2" bestFit="1" customWidth="1"/>
    <col min="9" max="10" width="2.7109375" customWidth="1"/>
    <col min="11" max="11" width="16.140625" bestFit="1" customWidth="1"/>
    <col min="12" max="12" width="11.7109375" bestFit="1" customWidth="1"/>
    <col min="13" max="13" width="2" bestFit="1" customWidth="1"/>
    <col min="14" max="14" width="3" bestFit="1" customWidth="1"/>
  </cols>
  <sheetData>
    <row r="1" spans="1:12" x14ac:dyDescent="0.25">
      <c r="A1" s="10" t="s">
        <v>0</v>
      </c>
      <c r="B1" s="10"/>
      <c r="C1" s="10"/>
      <c r="D1" s="10"/>
      <c r="E1" s="10"/>
      <c r="F1" s="10"/>
      <c r="G1" s="10"/>
      <c r="H1" s="10"/>
    </row>
    <row r="2" spans="1:12" x14ac:dyDescent="0.25">
      <c r="A2" t="s">
        <v>1</v>
      </c>
      <c r="B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K2" s="5" t="s">
        <v>44</v>
      </c>
      <c r="L2" s="5" t="s">
        <v>45</v>
      </c>
    </row>
    <row r="3" spans="1:12" x14ac:dyDescent="0.25">
      <c r="A3" t="s">
        <v>8</v>
      </c>
      <c r="B3" t="s">
        <v>21</v>
      </c>
      <c r="D3" s="4">
        <f>IF($L$4="","", $L$4/$L$3)</f>
        <v>912903.22580645164</v>
      </c>
      <c r="E3" s="4">
        <v>500000</v>
      </c>
      <c r="F3" s="3">
        <f>IF(E3="","", E3/D3)</f>
        <v>0.54770318021201414</v>
      </c>
      <c r="G3" s="3">
        <f>IF(E3="","", F3-1)</f>
        <v>-0.45229681978798586</v>
      </c>
      <c r="H3" s="4"/>
      <c r="K3" s="5" t="s">
        <v>46</v>
      </c>
      <c r="L3" s="5">
        <v>31</v>
      </c>
    </row>
    <row r="4" spans="1:12" x14ac:dyDescent="0.25">
      <c r="A4" t="s">
        <v>9</v>
      </c>
      <c r="B4" t="s">
        <v>23</v>
      </c>
      <c r="D4" s="4">
        <f>IF($L$4="","", $L$4/$L$3)</f>
        <v>912903.22580645164</v>
      </c>
      <c r="E4" s="4">
        <v>600000</v>
      </c>
      <c r="F4" s="3">
        <f>IF(E4="","", E4/D4)</f>
        <v>0.65724381625441697</v>
      </c>
      <c r="G4" s="3">
        <f>IF(E4="","", F4-1)</f>
        <v>-0.34275618374558303</v>
      </c>
      <c r="H4" s="4">
        <f>IF($L$4="","", IF(SUM($E$3:E3)=0, $L$4/$L$3, ($L$4-SUM($E$3:E3))/($L$3-(ROW()-3))))</f>
        <v>926666.66666666663</v>
      </c>
      <c r="K4" s="5" t="s">
        <v>47</v>
      </c>
      <c r="L4" s="6">
        <v>28300000</v>
      </c>
    </row>
    <row r="5" spans="1:12" x14ac:dyDescent="0.25">
      <c r="A5" t="s">
        <v>10</v>
      </c>
      <c r="B5" t="s">
        <v>11</v>
      </c>
      <c r="D5" s="4">
        <f>IF($L$4="","", $L$4/$L$3)</f>
        <v>912903.22580645164</v>
      </c>
      <c r="E5" s="4">
        <v>1000000</v>
      </c>
      <c r="F5" s="3">
        <f>IF(E5="","", E5/D5)</f>
        <v>1.0954063604240283</v>
      </c>
      <c r="G5" s="3">
        <f>IF(E5="","", F5-1)</f>
        <v>9.540636042402828E-2</v>
      </c>
      <c r="H5" s="4">
        <f>IF($L$4="","", IF(SUM($E$3:E4)=0, $L$4/$L$3, ($L$4-SUM($E$3:E4))/($L$3-(ROW()-3))))</f>
        <v>937931.03448275861</v>
      </c>
      <c r="K5" s="5" t="s">
        <v>52</v>
      </c>
      <c r="L5" s="7">
        <f ca="1">DAY(TODAY())</f>
        <v>6</v>
      </c>
    </row>
    <row r="6" spans="1:12" x14ac:dyDescent="0.25">
      <c r="A6" t="s">
        <v>12</v>
      </c>
      <c r="B6" t="s">
        <v>13</v>
      </c>
      <c r="D6" s="4">
        <f>IF($L$4="","", $L$4/$L$3)</f>
        <v>912903.22580645164</v>
      </c>
      <c r="E6" s="4">
        <v>900000</v>
      </c>
      <c r="F6" s="3">
        <f>IF(E6="","", E6/D6)</f>
        <v>0.98586572438162545</v>
      </c>
      <c r="G6" s="3">
        <f>IF(E6="","", F6-1)</f>
        <v>-1.4134275618374548E-2</v>
      </c>
      <c r="H6" s="4">
        <f>IF($L$4="","", IF(SUM($E$3:E5)=0, $L$4/$L$3, ($L$4-SUM($E$3:E5))/($L$3-(ROW()-3))))</f>
        <v>935714.28571428568</v>
      </c>
      <c r="K6" s="5" t="s">
        <v>53</v>
      </c>
      <c r="L6" s="7">
        <f ca="1">L3-L5</f>
        <v>25</v>
      </c>
    </row>
    <row r="7" spans="1:12" x14ac:dyDescent="0.25">
      <c r="A7" t="s">
        <v>14</v>
      </c>
      <c r="B7" t="s">
        <v>15</v>
      </c>
      <c r="D7" s="4">
        <f>IF($L$4="","", $L$4/$L$3)</f>
        <v>912903.22580645164</v>
      </c>
      <c r="E7" s="4">
        <v>1000000</v>
      </c>
      <c r="F7" s="3">
        <f>IF(E7="","", E7/D7)</f>
        <v>1.0954063604240283</v>
      </c>
      <c r="G7" s="3">
        <f>IF(E7="","", F7-1)</f>
        <v>9.540636042402828E-2</v>
      </c>
      <c r="H7" s="4">
        <f>IF($L$4="","", IF(SUM($E$3:E6)=0, $L$4/$L$3, ($L$4-SUM($E$3:E6))/($L$3-(ROW()-3))))</f>
        <v>937037.03703703708</v>
      </c>
      <c r="K7" s="5" t="s">
        <v>4</v>
      </c>
      <c r="L7" s="8">
        <f>SUM(E3:E33)</f>
        <v>4700000</v>
      </c>
    </row>
    <row r="8" spans="1:12" x14ac:dyDescent="0.25">
      <c r="A8" t="s">
        <v>16</v>
      </c>
      <c r="B8" t="s">
        <v>17</v>
      </c>
      <c r="D8" s="4">
        <f>IF($L$4="","", $L$4/$L$3)</f>
        <v>912903.22580645164</v>
      </c>
      <c r="E8" s="4">
        <v>700000</v>
      </c>
      <c r="F8" s="3">
        <f>IF(E8="","", E8/D8)</f>
        <v>0.7667844522968198</v>
      </c>
      <c r="G8" s="3">
        <f>IF(E8="","", F8-1)</f>
        <v>-0.2332155477031802</v>
      </c>
      <c r="H8" s="4">
        <f>IF($L$4="","", IF(SUM($E$3:E7)=0, $L$4/$L$3, ($L$4-SUM($E$3:E7))/($L$3-(ROW()-3))))</f>
        <v>934615.38461538462</v>
      </c>
      <c r="K8" s="5" t="s">
        <v>50</v>
      </c>
      <c r="L8" s="9">
        <f>L4-L7</f>
        <v>23600000</v>
      </c>
    </row>
    <row r="9" spans="1:12" x14ac:dyDescent="0.25">
      <c r="A9" t="s">
        <v>18</v>
      </c>
      <c r="B9" t="s">
        <v>19</v>
      </c>
      <c r="D9" s="4">
        <f>IF($L$4="","", $L$4/$L$3)</f>
        <v>912903.22580645164</v>
      </c>
      <c r="E9" s="4"/>
      <c r="F9" s="3" t="str">
        <f>IF(E9="","", E9/D9)</f>
        <v/>
      </c>
      <c r="G9" s="3" t="str">
        <f>IF(E9="","", F9-1)</f>
        <v/>
      </c>
      <c r="H9" s="4">
        <f>IF($L$4="","", IF(SUM($E$3:E8)=0, $L$4/$L$3, ($L$4-SUM($E$3:E8))/($L$3-(ROW()-3))))</f>
        <v>944000</v>
      </c>
      <c r="K9" s="5" t="s">
        <v>51</v>
      </c>
      <c r="L9" s="9">
        <f ca="1">L8/L6</f>
        <v>944000</v>
      </c>
    </row>
    <row r="10" spans="1:12" x14ac:dyDescent="0.25">
      <c r="A10" t="s">
        <v>20</v>
      </c>
      <c r="B10" t="s">
        <v>21</v>
      </c>
      <c r="D10" s="4">
        <f>IF($L$4="","", $L$4/$L$3)</f>
        <v>912903.22580645164</v>
      </c>
      <c r="E10" s="4"/>
      <c r="F10" s="3" t="str">
        <f>IF(E10="","", E10/D10)</f>
        <v/>
      </c>
      <c r="G10" s="3" t="str">
        <f>IF(E10="","", F10-1)</f>
        <v/>
      </c>
      <c r="H10" s="4">
        <f>IF($L$4="","", IF(SUM($E$3:E9)=0, $L$4/$L$3, ($L$4-SUM($E$3:E9))/($L$3-(ROW()-3))))</f>
        <v>983333.33333333337</v>
      </c>
    </row>
    <row r="11" spans="1:12" x14ac:dyDescent="0.25">
      <c r="A11" t="s">
        <v>22</v>
      </c>
      <c r="B11" t="s">
        <v>23</v>
      </c>
      <c r="D11" s="4">
        <f>IF($L$4="","", $L$4/$L$3)</f>
        <v>912903.22580645164</v>
      </c>
      <c r="E11" s="4"/>
      <c r="F11" s="3" t="str">
        <f>IF(E11="","", E11/D11)</f>
        <v/>
      </c>
      <c r="G11" s="3" t="str">
        <f>IF(E11="","", F11-1)</f>
        <v/>
      </c>
      <c r="H11" s="4">
        <f>IF($L$4="","", IF(SUM($E$3:E10)=0, $L$4/$L$3, ($L$4-SUM($E$3:E10))/($L$3-(ROW()-3))))</f>
        <v>1026086.9565217391</v>
      </c>
    </row>
    <row r="12" spans="1:12" x14ac:dyDescent="0.25">
      <c r="A12" t="s">
        <v>24</v>
      </c>
      <c r="B12" t="s">
        <v>11</v>
      </c>
      <c r="D12" s="4">
        <f>IF($L$4="","", $L$4/$L$3)</f>
        <v>912903.22580645164</v>
      </c>
      <c r="E12" s="4"/>
      <c r="F12" s="3" t="str">
        <f>IF(E12="","", E12/D12)</f>
        <v/>
      </c>
      <c r="G12" s="3" t="str">
        <f>IF(E12="","", F12-1)</f>
        <v/>
      </c>
      <c r="H12" s="4">
        <f>IF($L$4="","", IF(SUM($E$3:E11)=0, $L$4/$L$3, ($L$4-SUM($E$3:E11))/($L$3-(ROW()-3))))</f>
        <v>1072727.2727272727</v>
      </c>
    </row>
    <row r="13" spans="1:12" x14ac:dyDescent="0.25">
      <c r="A13" t="s">
        <v>25</v>
      </c>
      <c r="B13" t="s">
        <v>13</v>
      </c>
      <c r="D13" s="4">
        <f>IF($L$4="","", $L$4/$L$3)</f>
        <v>912903.22580645164</v>
      </c>
      <c r="E13" s="4"/>
      <c r="F13" s="3" t="str">
        <f>IF(E13="","", E13/D13)</f>
        <v/>
      </c>
      <c r="G13" s="3" t="str">
        <f>IF(E13="","", F13-1)</f>
        <v/>
      </c>
      <c r="H13" s="4">
        <f>IF($L$4="","", IF(SUM($E$3:E12)=0, $L$4/$L$3, ($L$4-SUM($E$3:E12))/($L$3-(ROW()-3))))</f>
        <v>1123809.5238095238</v>
      </c>
    </row>
    <row r="14" spans="1:12" x14ac:dyDescent="0.25">
      <c r="A14" t="s">
        <v>26</v>
      </c>
      <c r="B14" t="s">
        <v>15</v>
      </c>
      <c r="D14" s="4">
        <f>IF($L$4="","", $L$4/$L$3)</f>
        <v>912903.22580645164</v>
      </c>
      <c r="E14" s="4"/>
      <c r="F14" s="3" t="str">
        <f>IF(E14="","", E14/D14)</f>
        <v/>
      </c>
      <c r="G14" s="3" t="str">
        <f>IF(E14="","", F14-1)</f>
        <v/>
      </c>
      <c r="H14" s="4">
        <f>IF($L$4="","", IF(SUM($E$3:E13)=0, $L$4/$L$3, ($L$4-SUM($E$3:E13))/($L$3-(ROW()-3))))</f>
        <v>1180000</v>
      </c>
    </row>
    <row r="15" spans="1:12" x14ac:dyDescent="0.25">
      <c r="A15" t="s">
        <v>27</v>
      </c>
      <c r="B15" t="s">
        <v>17</v>
      </c>
      <c r="D15" s="4">
        <f>IF($L$4="","", $L$4/$L$3)</f>
        <v>912903.22580645164</v>
      </c>
      <c r="E15" s="4"/>
      <c r="F15" s="3" t="str">
        <f>IF(E15="","", E15/D15)</f>
        <v/>
      </c>
      <c r="G15" s="3" t="str">
        <f>IF(E15="","", F15-1)</f>
        <v/>
      </c>
      <c r="H15" s="4">
        <f>IF($L$4="","", IF(SUM($E$3:E14)=0, $L$4/$L$3, ($L$4-SUM($E$3:E14))/($L$3-(ROW()-3))))</f>
        <v>1242105.2631578948</v>
      </c>
    </row>
    <row r="16" spans="1:12" x14ac:dyDescent="0.25">
      <c r="A16" t="s">
        <v>28</v>
      </c>
      <c r="B16" t="s">
        <v>19</v>
      </c>
      <c r="D16" s="4">
        <f>IF($L$4="","", $L$4/$L$3)</f>
        <v>912903.22580645164</v>
      </c>
      <c r="E16" s="4"/>
      <c r="F16" s="3" t="str">
        <f>IF(E16="","", E16/D16)</f>
        <v/>
      </c>
      <c r="G16" s="3" t="str">
        <f>IF(E16="","", F16-1)</f>
        <v/>
      </c>
      <c r="H16" s="4">
        <f>IF($L$4="","", IF(SUM($E$3:E15)=0, $L$4/$L$3, ($L$4-SUM($E$3:E15))/($L$3-(ROW()-3))))</f>
        <v>1311111.111111111</v>
      </c>
    </row>
    <row r="17" spans="1:8" x14ac:dyDescent="0.25">
      <c r="A17" t="s">
        <v>29</v>
      </c>
      <c r="B17" t="s">
        <v>21</v>
      </c>
      <c r="D17" s="4">
        <f>IF($L$4="","", $L$4/$L$3)</f>
        <v>912903.22580645164</v>
      </c>
      <c r="E17" s="4"/>
      <c r="F17" s="3" t="str">
        <f>IF(E17="","", E17/D17)</f>
        <v/>
      </c>
      <c r="G17" s="3" t="str">
        <f>IF(E17="","", F17-1)</f>
        <v/>
      </c>
      <c r="H17" s="4">
        <f>IF($L$4="","", IF(SUM($E$3:E16)=0, $L$4/$L$3, ($L$4-SUM($E$3:E16))/($L$3-(ROW()-3))))</f>
        <v>1388235.294117647</v>
      </c>
    </row>
    <row r="18" spans="1:8" x14ac:dyDescent="0.25">
      <c r="A18" t="s">
        <v>30</v>
      </c>
      <c r="B18" t="s">
        <v>23</v>
      </c>
      <c r="D18" s="4">
        <f>IF($L$4="","", $L$4/$L$3)</f>
        <v>912903.22580645164</v>
      </c>
      <c r="E18" s="4"/>
      <c r="F18" s="3" t="str">
        <f>IF(E18="","", E18/D18)</f>
        <v/>
      </c>
      <c r="G18" s="3" t="str">
        <f>IF(E18="","", F18-1)</f>
        <v/>
      </c>
      <c r="H18" s="4">
        <f>IF($L$4="","", IF(SUM($E$3:E17)=0, $L$4/$L$3, ($L$4-SUM($E$3:E17))/($L$3-(ROW()-3))))</f>
        <v>1475000</v>
      </c>
    </row>
    <row r="19" spans="1:8" x14ac:dyDescent="0.25">
      <c r="A19" t="s">
        <v>31</v>
      </c>
      <c r="B19" t="s">
        <v>11</v>
      </c>
      <c r="D19" s="4">
        <f>IF($L$4="","", $L$4/$L$3)</f>
        <v>912903.22580645164</v>
      </c>
      <c r="E19" s="4"/>
      <c r="F19" s="3" t="str">
        <f>IF(E19="","", E19/D19)</f>
        <v/>
      </c>
      <c r="G19" s="3" t="str">
        <f>IF(E19="","", F19-1)</f>
        <v/>
      </c>
      <c r="H19" s="4">
        <f>IF($L$4="","", IF(SUM($E$3:E18)=0, $L$4/$L$3, ($L$4-SUM($E$3:E18))/($L$3-(ROW()-3))))</f>
        <v>1573333.3333333333</v>
      </c>
    </row>
    <row r="20" spans="1:8" x14ac:dyDescent="0.25">
      <c r="A20" t="s">
        <v>32</v>
      </c>
      <c r="B20" t="s">
        <v>13</v>
      </c>
      <c r="D20" s="4">
        <f>IF($L$4="","", $L$4/$L$3)</f>
        <v>912903.22580645164</v>
      </c>
      <c r="E20" s="4"/>
      <c r="F20" s="3" t="str">
        <f>IF(E20="","", E20/D20)</f>
        <v/>
      </c>
      <c r="G20" s="3" t="str">
        <f>IF(E20="","", F20-1)</f>
        <v/>
      </c>
      <c r="H20" s="4">
        <f>IF($L$4="","", IF(SUM($E$3:E19)=0, $L$4/$L$3, ($L$4-SUM($E$3:E19))/($L$3-(ROW()-3))))</f>
        <v>1685714.2857142857</v>
      </c>
    </row>
    <row r="21" spans="1:8" x14ac:dyDescent="0.25">
      <c r="A21" t="s">
        <v>33</v>
      </c>
      <c r="B21" t="s">
        <v>15</v>
      </c>
      <c r="D21" s="4">
        <f>IF($L$4="","", $L$4/$L$3)</f>
        <v>912903.22580645164</v>
      </c>
      <c r="E21" s="4"/>
      <c r="F21" s="3" t="str">
        <f>IF(E21="","", E21/D21)</f>
        <v/>
      </c>
      <c r="G21" s="3" t="str">
        <f>IF(E21="","", F21-1)</f>
        <v/>
      </c>
      <c r="H21" s="4">
        <f>IF($L$4="","", IF(SUM($E$3:E20)=0, $L$4/$L$3, ($L$4-SUM($E$3:E20))/($L$3-(ROW()-3))))</f>
        <v>1815384.6153846155</v>
      </c>
    </row>
    <row r="22" spans="1:8" x14ac:dyDescent="0.25">
      <c r="A22" t="s">
        <v>34</v>
      </c>
      <c r="B22" t="s">
        <v>17</v>
      </c>
      <c r="D22" s="4">
        <f>IF($L$4="","", $L$4/$L$3)</f>
        <v>912903.22580645164</v>
      </c>
      <c r="E22" s="4"/>
      <c r="F22" s="3" t="str">
        <f>IF(E22="","", E22/D22)</f>
        <v/>
      </c>
      <c r="G22" s="3" t="str">
        <f>IF(E22="","", F22-1)</f>
        <v/>
      </c>
      <c r="H22" s="4">
        <f>IF($L$4="","", IF(SUM($E$3:E21)=0, $L$4/$L$3, ($L$4-SUM($E$3:E21))/($L$3-(ROW()-3))))</f>
        <v>1966666.6666666667</v>
      </c>
    </row>
    <row r="23" spans="1:8" x14ac:dyDescent="0.25">
      <c r="A23" t="s">
        <v>35</v>
      </c>
      <c r="B23" t="s">
        <v>19</v>
      </c>
      <c r="D23" s="4">
        <f>IF($L$4="","", $L$4/$L$3)</f>
        <v>912903.22580645164</v>
      </c>
      <c r="E23" s="4"/>
      <c r="F23" s="3" t="str">
        <f>IF(E23="","", E23/D23)</f>
        <v/>
      </c>
      <c r="G23" s="3" t="str">
        <f>IF(E23="","", F23-1)</f>
        <v/>
      </c>
      <c r="H23" s="4">
        <f>IF($L$4="","", IF(SUM($E$3:E22)=0, $L$4/$L$3, ($L$4-SUM($E$3:E22))/($L$3-(ROW()-3))))</f>
        <v>2145454.5454545454</v>
      </c>
    </row>
    <row r="24" spans="1:8" x14ac:dyDescent="0.25">
      <c r="A24" t="s">
        <v>36</v>
      </c>
      <c r="B24" t="s">
        <v>21</v>
      </c>
      <c r="D24" s="4">
        <f>IF($L$4="","", $L$4/$L$3)</f>
        <v>912903.22580645164</v>
      </c>
      <c r="E24" s="4"/>
      <c r="F24" s="3" t="str">
        <f>IF(E24="","", E24/D24)</f>
        <v/>
      </c>
      <c r="G24" s="3" t="str">
        <f>IF(E24="","", F24-1)</f>
        <v/>
      </c>
      <c r="H24" s="4">
        <f>IF($L$4="","", IF(SUM($E$3:E23)=0, $L$4/$L$3, ($L$4-SUM($E$3:E23))/($L$3-(ROW()-3))))</f>
        <v>2360000</v>
      </c>
    </row>
    <row r="25" spans="1:8" x14ac:dyDescent="0.25">
      <c r="A25" t="s">
        <v>37</v>
      </c>
      <c r="B25" t="s">
        <v>23</v>
      </c>
      <c r="D25" s="4">
        <f>IF($L$4="","", $L$4/$L$3)</f>
        <v>912903.22580645164</v>
      </c>
      <c r="E25" s="4"/>
      <c r="F25" s="3" t="str">
        <f>IF(E25="","", E25/D25)</f>
        <v/>
      </c>
      <c r="G25" s="3" t="str">
        <f>IF(E25="","", F25-1)</f>
        <v/>
      </c>
      <c r="H25" s="4">
        <f>IF($L$4="","", IF(SUM($E$3:E24)=0, $L$4/$L$3, ($L$4-SUM($E$3:E24))/($L$3-(ROW()-3))))</f>
        <v>2622222.222222222</v>
      </c>
    </row>
    <row r="26" spans="1:8" x14ac:dyDescent="0.25">
      <c r="A26" t="s">
        <v>38</v>
      </c>
      <c r="B26" t="s">
        <v>11</v>
      </c>
      <c r="D26" s="4">
        <f>IF($L$4="","", $L$4/$L$3)</f>
        <v>912903.22580645164</v>
      </c>
      <c r="E26" s="4"/>
      <c r="F26" s="3" t="str">
        <f>IF(E26="","", E26/D26)</f>
        <v/>
      </c>
      <c r="G26" s="3" t="str">
        <f>IF(E26="","", F26-1)</f>
        <v/>
      </c>
      <c r="H26" s="4">
        <f>IF($L$4="","", IF(SUM($E$3:E25)=0, $L$4/$L$3, ($L$4-SUM($E$3:E25))/($L$3-(ROW()-3))))</f>
        <v>2950000</v>
      </c>
    </row>
    <row r="27" spans="1:8" x14ac:dyDescent="0.25">
      <c r="A27" t="s">
        <v>39</v>
      </c>
      <c r="B27" t="s">
        <v>13</v>
      </c>
      <c r="D27" s="4">
        <f>IF($L$4="","", $L$4/$L$3)</f>
        <v>912903.22580645164</v>
      </c>
      <c r="E27" s="4"/>
      <c r="F27" s="3" t="str">
        <f>IF(E27="","", E27/D27)</f>
        <v/>
      </c>
      <c r="G27" s="3" t="str">
        <f>IF(E27="","", F27-1)</f>
        <v/>
      </c>
      <c r="H27" s="4">
        <f>IF($L$4="","", IF(SUM($E$3:E26)=0, $L$4/$L$3, ($L$4-SUM($E$3:E26))/($L$3-(ROW()-3))))</f>
        <v>3371428.5714285714</v>
      </c>
    </row>
    <row r="28" spans="1:8" x14ac:dyDescent="0.25">
      <c r="A28" t="s">
        <v>48</v>
      </c>
      <c r="B28" t="s">
        <v>15</v>
      </c>
      <c r="D28" s="4">
        <f>IF($L$4="","", $L$4/$L$3)</f>
        <v>912903.22580645164</v>
      </c>
      <c r="E28" s="4"/>
      <c r="F28" s="3" t="str">
        <f>IF(E28="","", E28/D28)</f>
        <v/>
      </c>
      <c r="G28" s="3" t="str">
        <f>IF(E28="","", F28-1)</f>
        <v/>
      </c>
      <c r="H28" s="4">
        <f>IF($L$4="","", IF(SUM($E$3:E27)=0, $L$4/$L$3, ($L$4-SUM($E$3:E27))/($L$3-(ROW()-3))))</f>
        <v>3933333.3333333335</v>
      </c>
    </row>
    <row r="29" spans="1:8" x14ac:dyDescent="0.25">
      <c r="A29" t="s">
        <v>40</v>
      </c>
      <c r="B29" t="s">
        <v>17</v>
      </c>
      <c r="D29" s="4">
        <f>IF($L$4="","", $L$4/$L$3)</f>
        <v>912903.22580645164</v>
      </c>
      <c r="E29" s="4"/>
      <c r="F29" s="3" t="str">
        <f>IF(E29="","", E29/D29)</f>
        <v/>
      </c>
      <c r="G29" s="3" t="str">
        <f>IF(E29="","", F29-1)</f>
        <v/>
      </c>
      <c r="H29" s="4">
        <f>IF($L$4="","", IF(SUM($E$3:E28)=0, $L$4/$L$3, ($L$4-SUM($E$3:E28))/($L$3-(ROW()-3))))</f>
        <v>4720000</v>
      </c>
    </row>
    <row r="30" spans="1:8" x14ac:dyDescent="0.25">
      <c r="A30" t="s">
        <v>41</v>
      </c>
      <c r="B30" t="s">
        <v>19</v>
      </c>
      <c r="D30" s="4">
        <f>IF($L$4="","", $L$4/$L$3)</f>
        <v>912903.22580645164</v>
      </c>
      <c r="E30" s="4"/>
      <c r="F30" s="3" t="str">
        <f>IF(E30="","", E30/D30)</f>
        <v/>
      </c>
      <c r="G30" s="3" t="str">
        <f>IF(E30="","", F30-1)</f>
        <v/>
      </c>
      <c r="H30" s="4">
        <f>IF($L$4="","", IF(SUM($E$3:E29)=0, $L$4/$L$3, ($L$4-SUM($E$3:E29))/($L$3-(ROW()-3))))</f>
        <v>5900000</v>
      </c>
    </row>
    <row r="31" spans="1:8" x14ac:dyDescent="0.25">
      <c r="A31" t="s">
        <v>42</v>
      </c>
      <c r="B31" t="s">
        <v>21</v>
      </c>
      <c r="D31" s="4">
        <f>IF($L$4="","", $L$4/$L$3)</f>
        <v>912903.22580645164</v>
      </c>
      <c r="E31" s="4"/>
      <c r="F31" s="3" t="str">
        <f>IF(E31="","", E31/D31)</f>
        <v/>
      </c>
      <c r="G31" s="3" t="str">
        <f>IF(E31="","", F31-1)</f>
        <v/>
      </c>
      <c r="H31" s="4">
        <f>IF($L$4="","", IF(SUM($E$3:E30)=0, $L$4/$L$3, ($L$4-SUM($E$3:E30))/($L$3-(ROW()-3))))</f>
        <v>7866666.666666667</v>
      </c>
    </row>
    <row r="32" spans="1:8" x14ac:dyDescent="0.25">
      <c r="A32" t="s">
        <v>43</v>
      </c>
      <c r="B32" t="s">
        <v>23</v>
      </c>
      <c r="D32" s="4">
        <f>IF($L$4="","", $L$4/$L$3)</f>
        <v>912903.22580645164</v>
      </c>
      <c r="E32" s="4"/>
      <c r="F32" s="3" t="str">
        <f>IF(E32="","", E32/D32)</f>
        <v/>
      </c>
      <c r="G32" s="3" t="str">
        <f>IF(E32="","", F32-1)</f>
        <v/>
      </c>
      <c r="H32" s="4">
        <f>IF($L$4="","", IF(SUM($E$3:E31)=0, $L$4/$L$3, ($L$4-SUM($E$3:E31))/($L$3-(ROW()-3))))</f>
        <v>11800000</v>
      </c>
    </row>
    <row r="33" spans="1:8" x14ac:dyDescent="0.25">
      <c r="A33" t="s">
        <v>49</v>
      </c>
      <c r="B33" t="s">
        <v>11</v>
      </c>
      <c r="D33" s="4">
        <f>IF($L$4="","", $L$4/$L$3)</f>
        <v>912903.22580645164</v>
      </c>
      <c r="E33" s="4"/>
      <c r="F33" s="3" t="str">
        <f>IF(E33="","", E33/D33)</f>
        <v/>
      </c>
      <c r="G33" s="3" t="str">
        <f>IF(E33="","", F33-1)</f>
        <v/>
      </c>
      <c r="H33" s="4">
        <f>IF($L$4="","", IF(SUM($E$3:E32)=0, $L$4/$L$3, ($L$4-SUM($E$3:E32))/($L$3-(ROW()-3))))</f>
        <v>23600000</v>
      </c>
    </row>
    <row r="34" spans="1:8" x14ac:dyDescent="0.25">
      <c r="F34"/>
      <c r="G34"/>
      <c r="H34"/>
    </row>
    <row r="35" spans="1:8" x14ac:dyDescent="0.25">
      <c r="F35"/>
      <c r="G35"/>
      <c r="H35"/>
    </row>
    <row r="36" spans="1:8" x14ac:dyDescent="0.25">
      <c r="F36"/>
      <c r="G36"/>
      <c r="H36"/>
    </row>
    <row r="37" spans="1:8" x14ac:dyDescent="0.25">
      <c r="F37"/>
      <c r="G37"/>
      <c r="H37"/>
    </row>
    <row r="38" spans="1:8" x14ac:dyDescent="0.25">
      <c r="F38"/>
      <c r="G38"/>
      <c r="H38"/>
    </row>
    <row r="39" spans="1:8" x14ac:dyDescent="0.25">
      <c r="F39"/>
      <c r="G39"/>
      <c r="H39"/>
    </row>
    <row r="40" spans="1:8" x14ac:dyDescent="0.25">
      <c r="F40"/>
      <c r="G40"/>
      <c r="H40"/>
    </row>
  </sheetData>
  <mergeCells count="1">
    <mergeCell ref="A1:H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Mart 2025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Kuzey Uzun</dc:creator>
  <cp:lastModifiedBy>Kuzey Uzun</cp:lastModifiedBy>
  <dcterms:created xsi:type="dcterms:W3CDTF">2025-03-06T13:02:24Z</dcterms:created>
  <dcterms:modified xsi:type="dcterms:W3CDTF">2025-03-06T14:26:54Z</dcterms:modified>
</cp:coreProperties>
</file>